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huangdeyang/pythonproject/outputs/01a0cc35-f9c7-7751-a49a-2145c156585f/"/>
    </mc:Choice>
  </mc:AlternateContent>
  <xr:revisionPtr revIDLastSave="0" documentId="13_ncr:1_{7C306A89-20C8-DB42-B5A8-571EB2F65E24}" xr6:coauthVersionLast="47" xr6:coauthVersionMax="47" xr10:uidLastSave="{00000000-0000-0000-0000-000000000000}"/>
  <bookViews>
    <workbookView xWindow="0" yWindow="660" windowWidth="29400" windowHeight="17220" xr2:uid="{00000000-000D-0000-FFFF-FFFF00000000}"/>
  </bookViews>
  <sheets>
    <sheet name="覆盖率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J4" i="1" s="1"/>
  <c r="D4" i="1"/>
  <c r="F4" i="1" s="1"/>
  <c r="B4" i="1"/>
</calcChain>
</file>

<file path=xl/sharedStrings.xml><?xml version="1.0" encoding="utf-8"?>
<sst xmlns="http://schemas.openxmlformats.org/spreadsheetml/2006/main" count="307" uniqueCount="163">
  <si>
    <t>电商与物流接口覆盖率清单</t>
  </si>
  <si>
    <t>接口总数</t>
  </si>
  <si>
    <t>已自动化</t>
  </si>
  <si>
    <t>实现覆盖率</t>
  </si>
  <si>
    <t>本地通过</t>
  </si>
  <si>
    <t>口径：实现覆盖率表示文档端点已有自动化用例；本地通过率表示用例通过本项目 Flask 测试替身；真实环境验证率仅统计实际物流或电商环境执行结果。</t>
  </si>
  <si>
    <t>来源：电子商务项目&amp;物流项目接口文档.pdf，共38页，文档日期 2023-08-22。</t>
  </si>
  <si>
    <t>序号</t>
  </si>
  <si>
    <t>项目</t>
  </si>
  <si>
    <t>业务阶段</t>
  </si>
  <si>
    <t>接口名称</t>
  </si>
  <si>
    <t>方法</t>
  </si>
  <si>
    <t>接口路径</t>
  </si>
  <si>
    <t>文档页码</t>
  </si>
  <si>
    <t>自动化用例文件</t>
  </si>
  <si>
    <t>用例数</t>
  </si>
  <si>
    <t>自动化状态</t>
  </si>
  <si>
    <t>本地结果</t>
  </si>
  <si>
    <t>鉴权与依赖</t>
  </si>
  <si>
    <t>备注</t>
  </si>
  <si>
    <t>电子商务</t>
  </si>
  <si>
    <t>商品浏览</t>
  </si>
  <si>
    <t>获取商品列表</t>
  </si>
  <si>
    <t>GET</t>
  </si>
  <si>
    <t>/coupApply/cms/goodsList</t>
  </si>
  <si>
    <t>5-6</t>
  </si>
  <si>
    <t>testcase/ProductManager/getProductList.yaml</t>
  </si>
  <si>
    <t>已实现</t>
  </si>
  <si>
    <t>通过</t>
  </si>
  <si>
    <t>会话登录后使用 token</t>
  </si>
  <si>
    <t>提取商品ID列表</t>
  </si>
  <si>
    <t>获取商品详情</t>
  </si>
  <si>
    <t>POST</t>
  </si>
  <si>
    <t>/coupApply/cms/productDetail</t>
  </si>
  <si>
    <t>6-7</t>
  </si>
  <si>
    <t>testcase/ProductManager/productDetail.yaml</t>
  </si>
  <si>
    <t>依赖商品ID</t>
  </si>
  <si>
    <t>已修正为正向详情校验</t>
  </si>
  <si>
    <t>订单</t>
  </si>
  <si>
    <t>提交订单</t>
  </si>
  <si>
    <t>/coupApply/cms/placeAnOrder</t>
  </si>
  <si>
    <t>7-8</t>
  </si>
  <si>
    <t>testcase/ProductManager/commitOrder.yaml</t>
  </si>
  <si>
    <t>提取订单号和用户ID</t>
  </si>
  <si>
    <t>订单支付</t>
  </si>
  <si>
    <t>/coupApply/cms/orderPay</t>
  </si>
  <si>
    <t>8-9</t>
  </si>
  <si>
    <t>testcase/ProductManager/orderPay.yaml</t>
  </si>
  <si>
    <t>依赖订单号和用户ID</t>
  </si>
  <si>
    <t>支付成功后订单状态为已支付</t>
  </si>
  <si>
    <t>购物车</t>
  </si>
  <si>
    <t>添加购物车</t>
  </si>
  <si>
    <t>/coupApply/cms/shoppingJoinCart</t>
  </si>
  <si>
    <t>9-10</t>
  </si>
  <si>
    <t>testcase/ProductManager/shoppingJoinCart.yaml</t>
  </si>
  <si>
    <t>新增覆盖</t>
  </si>
  <si>
    <t>删除购物车商品</t>
  </si>
  <si>
    <t>/coupApply/cms/delCart</t>
  </si>
  <si>
    <t>10-11</t>
  </si>
  <si>
    <t>testcase/ProductManager/delCart.yaml</t>
  </si>
  <si>
    <t>校验商品订单状态</t>
  </si>
  <si>
    <t>/coupApply/cms/checkOrderStatus</t>
  </si>
  <si>
    <t>11-12</t>
  </si>
  <si>
    <t>testcase/ProductManager/checkOrderStatus.yaml</t>
  </si>
  <si>
    <t>依赖订单号</t>
  </si>
  <si>
    <t>新增单接口覆盖，业务场景也已覆盖</t>
  </si>
  <si>
    <t>物流状态</t>
  </si>
  <si>
    <t>校验商品物流状态</t>
  </si>
  <si>
    <t>/coupApply/cms/checkLogisticsStatus</t>
  </si>
  <si>
    <t>12-13</t>
  </si>
  <si>
    <t>testcase/ProductManager/checkLogisticsStatus.yaml</t>
  </si>
  <si>
    <t>库存</t>
  </si>
  <si>
    <t>校验商品库存</t>
  </si>
  <si>
    <t>/coupApply/cms/shoppingInventory</t>
  </si>
  <si>
    <t>13-14</t>
  </si>
  <si>
    <t>testcase/ProductManager/shoppingInventory.yaml</t>
  </si>
  <si>
    <t>覆盖库存正常和库存不足</t>
  </si>
  <si>
    <t>物流</t>
  </si>
  <si>
    <t>下单</t>
  </si>
  <si>
    <t>获取下单物料信息</t>
  </si>
  <si>
    <t>/api/order/customer/orderPlan/getMaterial</t>
  </si>
  <si>
    <t>14-15</t>
  </si>
  <si>
    <t>testcase/Logistics/logistics_scenario.yml</t>
  </si>
  <si>
    <t>Cookie</t>
  </si>
  <si>
    <t>提取物料ID</t>
  </si>
  <si>
    <t>货主下订单</t>
  </si>
  <si>
    <t>/api/order/customer/orderPlan/create</t>
  </si>
  <si>
    <t>15-17</t>
  </si>
  <si>
    <t>Cookie、物料ID</t>
  </si>
  <si>
    <t>提取订单号和物料明细ID</t>
  </si>
  <si>
    <t>集团调度</t>
  </si>
  <si>
    <t>集团接收货主订单</t>
  </si>
  <si>
    <t>/api/order/pc/order/master/receive</t>
  </si>
  <si>
    <t>17-18</t>
  </si>
  <si>
    <t>Cookie、订单号</t>
  </si>
  <si>
    <t>核心链路</t>
  </si>
  <si>
    <t>集团分配订单给物流公司</t>
  </si>
  <si>
    <t>/api/order/pc/order/assign</t>
  </si>
  <si>
    <t>18-19</t>
  </si>
  <si>
    <t>Cookie、订单号、组织ID</t>
  </si>
  <si>
    <t>物流接单</t>
  </si>
  <si>
    <t>物流公司接单</t>
  </si>
  <si>
    <t>/api/order/pc/order/trans/receive</t>
  </si>
  <si>
    <t>19-20</t>
  </si>
  <si>
    <t>提取物流订单号</t>
  </si>
  <si>
    <t>物流公司拆分订单</t>
  </si>
  <si>
    <t>/api/order/pc/logisticsOrder/handSplitOrder</t>
  </si>
  <si>
    <t>20-21</t>
  </si>
  <si>
    <t>Cookie、物流订单号、物料明细ID</t>
  </si>
  <si>
    <t>运输调度</t>
  </si>
  <si>
    <t>物流公司调度派车</t>
  </si>
  <si>
    <t>/api/order/pc/logisticsOrder/handCapacityDispatch</t>
  </si>
  <si>
    <t>21-22</t>
  </si>
  <si>
    <t>Cookie、物流订单号</t>
  </si>
  <si>
    <t>提取调度单号</t>
  </si>
  <si>
    <t>获取调度单页面列表</t>
  </si>
  <si>
    <t>/api/order/pc/schedule/findPage</t>
  </si>
  <si>
    <t>22-24</t>
  </si>
  <si>
    <t>Cookie、调度单号</t>
  </si>
  <si>
    <t>提取记录ID和费用ID</t>
  </si>
  <si>
    <t>获取调度单详情</t>
  </si>
  <si>
    <t>/api/order/pc/scheduleDetail/info</t>
  </si>
  <si>
    <t>24-27</t>
  </si>
  <si>
    <t>司机运输</t>
  </si>
  <si>
    <t>司机APP端确认运输</t>
  </si>
  <si>
    <t>/api/order/app/schedule/confirm</t>
  </si>
  <si>
    <t>27-28</t>
  </si>
  <si>
    <t>出入库</t>
  </si>
  <si>
    <t>SRM系统推送运量出库信息</t>
  </si>
  <si>
    <t>/rpc/srm/inventory</t>
  </si>
  <si>
    <t>28-30</t>
  </si>
  <si>
    <t>提取司称单号</t>
  </si>
  <si>
    <t>计量系统推送入库退货量</t>
  </si>
  <si>
    <t>/order/feign/dbjlxt</t>
  </si>
  <si>
    <t>30-31</t>
  </si>
  <si>
    <t>Cookie、司称单号</t>
  </si>
  <si>
    <t>校验入库量和退货量处理</t>
  </si>
  <si>
    <t>费用结算</t>
  </si>
  <si>
    <t>创建应付对账单</t>
  </si>
  <si>
    <t>/api/order/pc/cost/receiveCost/create/bill</t>
  </si>
  <si>
    <t>31-32</t>
  </si>
  <si>
    <t>Cookie、调度单号、费用ID</t>
  </si>
  <si>
    <t>提取对账单号</t>
  </si>
  <si>
    <t>获取应付对账单详情及运费</t>
  </si>
  <si>
    <t>/api/order/pc/cost/payCost/page</t>
  </si>
  <si>
    <t>32-34</t>
  </si>
  <si>
    <t>Cookie、对账单号</t>
  </si>
  <si>
    <t>承运商</t>
  </si>
  <si>
    <t>添加承运商</t>
  </si>
  <si>
    <t>/api/user/pc/carrier/carrier/add</t>
  </si>
  <si>
    <t>34-36</t>
  </si>
  <si>
    <t>Cookie、MD5密码</t>
  </si>
  <si>
    <t>提取承运商ID</t>
  </si>
  <si>
    <t>获取承运商列表</t>
  </si>
  <si>
    <t>/api/user/pc/carrier/cys/findPage</t>
  </si>
  <si>
    <t>36-37</t>
  </si>
  <si>
    <t>查询本次创建的承运商</t>
  </si>
  <si>
    <t>删除承运商</t>
  </si>
  <si>
    <t>/api/user/pc/carrier/carrier/delete</t>
  </si>
  <si>
    <t>37-38</t>
  </si>
  <si>
    <t>Cookie、承运商ID</t>
  </si>
  <si>
    <t>清理测试数据</t>
  </si>
  <si>
    <t>通过率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</si>
</sst>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9">
    <font>
      <sz val="11"/>
      <name val="Carlito"/>
    </font>
    <font>
      <b/>
      <sz val="16"/>
      <color rgb="FF1F2937"/>
      <name val="Arial"/>
      <family val="2"/>
    </font>
    <font>
      <b/>
      <sz val="11"/>
      <color rgb="FF1F2937"/>
      <name val="Arial"/>
      <family val="2"/>
    </font>
    <font>
      <i/>
      <sz val="10"/>
      <color rgb="FF4B5563"/>
      <name val="Arial"/>
      <family val="2"/>
    </font>
    <font>
      <b/>
      <sz val="10"/>
      <color rgb="FFFFFFFF"/>
      <name val="Arial"/>
      <family val="2"/>
    </font>
    <font>
      <sz val="10"/>
      <color rgb="FF1F2937"/>
      <name val="Arial"/>
      <family val="2"/>
    </font>
    <font>
      <sz val="11"/>
      <name val="Carlito"/>
    </font>
    <font>
      <sz val="9"/>
      <name val="FangSong"/>
      <family val="3"/>
      <charset val="134"/>
    </font>
    <font>
      <b/>
      <sz val="11"/>
      <color rgb="FF1F2937"/>
      <name val="Microsoft YaHei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F3F6FA"/>
      </patternFill>
    </fill>
    <fill>
      <patternFill patternType="solid">
        <fgColor rgb="FF1F4E78"/>
      </patternFill>
    </fill>
  </fills>
  <borders count="10">
    <border>
      <left/>
      <right/>
      <top/>
      <bottom/>
      <diagonal/>
    </border>
    <border>
      <left/>
      <right/>
      <top/>
      <bottom style="thin">
        <color rgb="FF9CA3AF"/>
      </bottom>
      <diagonal/>
    </border>
    <border>
      <left style="thin">
        <color rgb="FF9CA3AF"/>
      </left>
      <right/>
      <top style="thin">
        <color rgb="FF9CA3AF"/>
      </top>
      <bottom style="thin">
        <color rgb="FF9CA3AF"/>
      </bottom>
      <diagonal/>
    </border>
    <border>
      <left/>
      <right/>
      <top style="thin">
        <color rgb="FF9CA3AF"/>
      </top>
      <bottom style="thin">
        <color rgb="FF9CA3A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/>
      <diagonal/>
    </border>
  </borders>
  <cellStyleXfs count="2">
    <xf numFmtId="0" fontId="0" fillId="0" borderId="0"/>
    <xf numFmtId="0" fontId="6" fillId="0" borderId="0"/>
  </cellStyleXfs>
  <cellXfs count="21">
    <xf numFmtId="0" fontId="0" fillId="0" borderId="0" xfId="0"/>
    <xf numFmtId="0" fontId="1" fillId="0" borderId="0" xfId="1" applyFont="1"/>
    <xf numFmtId="0" fontId="0" fillId="0" borderId="1" xfId="1" applyFont="1" applyBorder="1"/>
    <xf numFmtId="0" fontId="2" fillId="2" borderId="2" xfId="1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176" fontId="2" fillId="3" borderId="3" xfId="1" applyNumberFormat="1" applyFont="1" applyFill="1" applyBorder="1" applyAlignment="1">
      <alignment horizontal="center" vertical="center"/>
    </xf>
    <xf numFmtId="0" fontId="3" fillId="0" borderId="0" xfId="1" applyFont="1"/>
    <xf numFmtId="0" fontId="4" fillId="4" borderId="4" xfId="1" applyFont="1" applyFill="1" applyBorder="1" applyAlignment="1">
      <alignment horizontal="center" vertical="center" wrapText="1"/>
    </xf>
    <xf numFmtId="0" fontId="4" fillId="4" borderId="5" xfId="1" applyFont="1" applyFill="1" applyBorder="1" applyAlignment="1">
      <alignment horizontal="center" vertical="center" wrapText="1"/>
    </xf>
    <xf numFmtId="0" fontId="4" fillId="4" borderId="6" xfId="1" applyFont="1" applyFill="1" applyBorder="1" applyAlignment="1">
      <alignment horizontal="center" vertical="center" wrapText="1"/>
    </xf>
    <xf numFmtId="0" fontId="5" fillId="0" borderId="7" xfId="1" applyFont="1" applyBorder="1" applyAlignment="1">
      <alignment vertical="center"/>
    </xf>
    <xf numFmtId="0" fontId="5" fillId="0" borderId="8" xfId="1" applyFont="1" applyBorder="1" applyAlignment="1">
      <alignment vertical="center"/>
    </xf>
    <xf numFmtId="0" fontId="5" fillId="0" borderId="9" xfId="1" applyFont="1" applyBorder="1" applyAlignment="1">
      <alignment vertical="center"/>
    </xf>
    <xf numFmtId="0" fontId="5" fillId="0" borderId="7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0" borderId="7" xfId="1" applyFont="1" applyBorder="1" applyAlignment="1">
      <alignment vertical="center" wrapText="1"/>
    </xf>
    <xf numFmtId="0" fontId="5" fillId="0" borderId="8" xfId="1" applyFont="1" applyBorder="1" applyAlignment="1">
      <alignment vertical="center" wrapText="1"/>
    </xf>
    <xf numFmtId="0" fontId="5" fillId="0" borderId="9" xfId="1" applyFont="1" applyBorder="1" applyAlignment="1">
      <alignment vertical="center" wrapText="1"/>
    </xf>
    <xf numFmtId="0" fontId="8" fillId="2" borderId="3" xfId="1" applyFont="1" applyFill="1" applyBorder="1" applyAlignment="1">
      <alignment horizontal="center" vertical="center"/>
    </xf>
  </cellXfs>
  <cellStyles count="2">
    <cellStyle name="Normal" xfId="1" xr:uid="{00000000-0005-0000-0000-000000000000}"/>
    <cellStyle name="常规" xfId="0" builtinId="0"/>
  </cellStyles>
  <dxfs count="2"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terfaceCoverageTable" displayName="InterfaceCoverageTable" ref="A10:M36" totalsRowShown="0">
  <autoFilter ref="A10:M36" xr:uid="{00000000-0009-0000-0100-000001000000}"/>
  <tableColumns count="13">
    <tableColumn id="1" xr3:uid="{00000000-0010-0000-0000-000001000000}" name="序号"/>
    <tableColumn id="2" xr3:uid="{00000000-0010-0000-0000-000002000000}" name="项目"/>
    <tableColumn id="3" xr3:uid="{00000000-0010-0000-0000-000003000000}" name="业务阶段"/>
    <tableColumn id="4" xr3:uid="{00000000-0010-0000-0000-000004000000}" name="接口名称"/>
    <tableColumn id="5" xr3:uid="{00000000-0010-0000-0000-000005000000}" name="方法"/>
    <tableColumn id="6" xr3:uid="{00000000-0010-0000-0000-000006000000}" name="接口路径"/>
    <tableColumn id="7" xr3:uid="{00000000-0010-0000-0000-000007000000}" name="文档页码"/>
    <tableColumn id="8" xr3:uid="{00000000-0010-0000-0000-000008000000}" name="自动化用例文件"/>
    <tableColumn id="9" xr3:uid="{00000000-0010-0000-0000-000009000000}" name="用例数"/>
    <tableColumn id="10" xr3:uid="{00000000-0010-0000-0000-00000A000000}" name="自动化状态"/>
    <tableColumn id="11" xr3:uid="{00000000-0010-0000-0000-00000B000000}" name="本地结果"/>
    <tableColumn id="13" xr3:uid="{00000000-0010-0000-0000-00000D000000}" name="鉴权与依赖"/>
    <tableColumn id="14" xr3:uid="{00000000-0010-0000-0000-00000E000000}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2:M36"/>
  <sheetViews>
    <sheetView showGridLines="0" tabSelected="1" workbookViewId="0">
      <pane xSplit="2" ySplit="10" topLeftCell="C11" activePane="bottomRight" state="frozen"/>
      <selection pane="topRight"/>
      <selection pane="bottomLeft"/>
      <selection pane="bottomRight" activeCell="B4" sqref="B4"/>
    </sheetView>
  </sheetViews>
  <sheetFormatPr baseColWidth="10" defaultColWidth="8.83203125" defaultRowHeight="14"/>
  <cols>
    <col min="1" max="1" width="10.5" customWidth="1"/>
    <col min="2" max="2" width="12" customWidth="1"/>
    <col min="3" max="3" width="13" customWidth="1"/>
    <col min="4" max="4" width="25" customWidth="1"/>
    <col min="5" max="5" width="9" customWidth="1"/>
    <col min="6" max="6" width="48" customWidth="1"/>
    <col min="7" max="7" width="11" customWidth="1"/>
    <col min="8" max="8" width="46" customWidth="1"/>
    <col min="9" max="9" width="9" customWidth="1"/>
    <col min="10" max="11" width="13" customWidth="1"/>
    <col min="12" max="12" width="30" customWidth="1"/>
    <col min="13" max="13" width="34" customWidth="1"/>
  </cols>
  <sheetData>
    <row r="2" spans="1:13" ht="20">
      <c r="A2" s="1" t="s">
        <v>0</v>
      </c>
    </row>
    <row r="3" spans="1:1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30" customHeight="1">
      <c r="A4" s="3" t="s">
        <v>1</v>
      </c>
      <c r="B4" s="4">
        <f>COUNTA(A11:A36)</f>
        <v>26</v>
      </c>
      <c r="C4" s="5" t="s">
        <v>2</v>
      </c>
      <c r="D4" s="4">
        <f>COUNTIFS(J11:J36,"已实现")</f>
        <v>26</v>
      </c>
      <c r="E4" s="5" t="s">
        <v>3</v>
      </c>
      <c r="F4" s="6">
        <f>D4/B4</f>
        <v>1</v>
      </c>
      <c r="G4" s="5" t="s">
        <v>4</v>
      </c>
      <c r="H4" s="4">
        <f>COUNTIFS(K11:K36,"通过")</f>
        <v>26</v>
      </c>
      <c r="I4" s="20" t="s">
        <v>162</v>
      </c>
      <c r="J4" s="6">
        <f>H4/B4</f>
        <v>1</v>
      </c>
    </row>
    <row r="6" spans="1:13">
      <c r="A6" s="7" t="s">
        <v>5</v>
      </c>
    </row>
    <row r="7" spans="1:13">
      <c r="A7" s="7" t="s">
        <v>6</v>
      </c>
    </row>
    <row r="10" spans="1:13" ht="34" customHeight="1">
      <c r="A10" s="8" t="s">
        <v>7</v>
      </c>
      <c r="B10" s="9" t="s">
        <v>8</v>
      </c>
      <c r="C10" s="9" t="s">
        <v>9</v>
      </c>
      <c r="D10" s="9" t="s">
        <v>10</v>
      </c>
      <c r="E10" s="9" t="s">
        <v>11</v>
      </c>
      <c r="F10" s="9" t="s">
        <v>12</v>
      </c>
      <c r="G10" s="9" t="s">
        <v>13</v>
      </c>
      <c r="H10" s="9" t="s">
        <v>14</v>
      </c>
      <c r="I10" s="9" t="s">
        <v>15</v>
      </c>
      <c r="J10" s="9" t="s">
        <v>16</v>
      </c>
      <c r="K10" s="9" t="s">
        <v>17</v>
      </c>
      <c r="L10" s="9" t="s">
        <v>18</v>
      </c>
      <c r="M10" s="10" t="s">
        <v>19</v>
      </c>
    </row>
    <row r="11" spans="1:13" ht="34" customHeight="1">
      <c r="A11" s="14">
        <v>1</v>
      </c>
      <c r="B11" s="14" t="s">
        <v>20</v>
      </c>
      <c r="C11" s="14" t="s">
        <v>21</v>
      </c>
      <c r="D11" s="11" t="s">
        <v>22</v>
      </c>
      <c r="E11" s="14" t="s">
        <v>23</v>
      </c>
      <c r="F11" s="11" t="s">
        <v>24</v>
      </c>
      <c r="G11" s="14" t="s">
        <v>25</v>
      </c>
      <c r="H11" s="17" t="s">
        <v>26</v>
      </c>
      <c r="I11" s="14">
        <v>1</v>
      </c>
      <c r="J11" s="14" t="s">
        <v>27</v>
      </c>
      <c r="K11" s="14" t="s">
        <v>28</v>
      </c>
      <c r="L11" s="17" t="s">
        <v>29</v>
      </c>
      <c r="M11" s="17" t="s">
        <v>30</v>
      </c>
    </row>
    <row r="12" spans="1:13" ht="34" customHeight="1">
      <c r="A12" s="15">
        <v>2</v>
      </c>
      <c r="B12" s="15" t="s">
        <v>20</v>
      </c>
      <c r="C12" s="15" t="s">
        <v>21</v>
      </c>
      <c r="D12" s="12" t="s">
        <v>31</v>
      </c>
      <c r="E12" s="15" t="s">
        <v>32</v>
      </c>
      <c r="F12" s="12" t="s">
        <v>33</v>
      </c>
      <c r="G12" s="15" t="s">
        <v>34</v>
      </c>
      <c r="H12" s="18" t="s">
        <v>35</v>
      </c>
      <c r="I12" s="15">
        <v>1</v>
      </c>
      <c r="J12" s="15" t="s">
        <v>27</v>
      </c>
      <c r="K12" s="15" t="s">
        <v>28</v>
      </c>
      <c r="L12" s="18" t="s">
        <v>36</v>
      </c>
      <c r="M12" s="18" t="s">
        <v>37</v>
      </c>
    </row>
    <row r="13" spans="1:13" ht="34" customHeight="1">
      <c r="A13" s="15">
        <v>3</v>
      </c>
      <c r="B13" s="15" t="s">
        <v>20</v>
      </c>
      <c r="C13" s="15" t="s">
        <v>38</v>
      </c>
      <c r="D13" s="12" t="s">
        <v>39</v>
      </c>
      <c r="E13" s="15" t="s">
        <v>32</v>
      </c>
      <c r="F13" s="12" t="s">
        <v>40</v>
      </c>
      <c r="G13" s="15" t="s">
        <v>41</v>
      </c>
      <c r="H13" s="18" t="s">
        <v>42</v>
      </c>
      <c r="I13" s="15">
        <v>1</v>
      </c>
      <c r="J13" s="15" t="s">
        <v>27</v>
      </c>
      <c r="K13" s="15" t="s">
        <v>28</v>
      </c>
      <c r="L13" s="18" t="s">
        <v>36</v>
      </c>
      <c r="M13" s="18" t="s">
        <v>43</v>
      </c>
    </row>
    <row r="14" spans="1:13" ht="34" customHeight="1">
      <c r="A14" s="15">
        <v>4</v>
      </c>
      <c r="B14" s="15" t="s">
        <v>20</v>
      </c>
      <c r="C14" s="15" t="s">
        <v>38</v>
      </c>
      <c r="D14" s="12" t="s">
        <v>44</v>
      </c>
      <c r="E14" s="15" t="s">
        <v>32</v>
      </c>
      <c r="F14" s="12" t="s">
        <v>45</v>
      </c>
      <c r="G14" s="15" t="s">
        <v>46</v>
      </c>
      <c r="H14" s="18" t="s">
        <v>47</v>
      </c>
      <c r="I14" s="15">
        <v>1</v>
      </c>
      <c r="J14" s="15" t="s">
        <v>27</v>
      </c>
      <c r="K14" s="15" t="s">
        <v>28</v>
      </c>
      <c r="L14" s="18" t="s">
        <v>48</v>
      </c>
      <c r="M14" s="18" t="s">
        <v>49</v>
      </c>
    </row>
    <row r="15" spans="1:13" ht="34" customHeight="1">
      <c r="A15" s="15">
        <v>5</v>
      </c>
      <c r="B15" s="15" t="s">
        <v>20</v>
      </c>
      <c r="C15" s="15" t="s">
        <v>50</v>
      </c>
      <c r="D15" s="12" t="s">
        <v>51</v>
      </c>
      <c r="E15" s="15" t="s">
        <v>32</v>
      </c>
      <c r="F15" s="12" t="s">
        <v>52</v>
      </c>
      <c r="G15" s="15" t="s">
        <v>53</v>
      </c>
      <c r="H15" s="18" t="s">
        <v>54</v>
      </c>
      <c r="I15" s="15">
        <v>1</v>
      </c>
      <c r="J15" s="15" t="s">
        <v>27</v>
      </c>
      <c r="K15" s="15" t="s">
        <v>28</v>
      </c>
      <c r="L15" s="18" t="s">
        <v>36</v>
      </c>
      <c r="M15" s="18" t="s">
        <v>55</v>
      </c>
    </row>
    <row r="16" spans="1:13" ht="34" customHeight="1">
      <c r="A16" s="15">
        <v>6</v>
      </c>
      <c r="B16" s="15" t="s">
        <v>20</v>
      </c>
      <c r="C16" s="15" t="s">
        <v>50</v>
      </c>
      <c r="D16" s="12" t="s">
        <v>56</v>
      </c>
      <c r="E16" s="15" t="s">
        <v>32</v>
      </c>
      <c r="F16" s="12" t="s">
        <v>57</v>
      </c>
      <c r="G16" s="15" t="s">
        <v>58</v>
      </c>
      <c r="H16" s="18" t="s">
        <v>59</v>
      </c>
      <c r="I16" s="15">
        <v>1</v>
      </c>
      <c r="J16" s="15" t="s">
        <v>27</v>
      </c>
      <c r="K16" s="15" t="s">
        <v>28</v>
      </c>
      <c r="L16" s="18" t="s">
        <v>36</v>
      </c>
      <c r="M16" s="18" t="s">
        <v>55</v>
      </c>
    </row>
    <row r="17" spans="1:13" ht="34" customHeight="1">
      <c r="A17" s="15">
        <v>7</v>
      </c>
      <c r="B17" s="15" t="s">
        <v>20</v>
      </c>
      <c r="C17" s="15" t="s">
        <v>38</v>
      </c>
      <c r="D17" s="12" t="s">
        <v>60</v>
      </c>
      <c r="E17" s="15" t="s">
        <v>32</v>
      </c>
      <c r="F17" s="12" t="s">
        <v>61</v>
      </c>
      <c r="G17" s="15" t="s">
        <v>62</v>
      </c>
      <c r="H17" s="18" t="s">
        <v>63</v>
      </c>
      <c r="I17" s="15">
        <v>1</v>
      </c>
      <c r="J17" s="15" t="s">
        <v>27</v>
      </c>
      <c r="K17" s="15" t="s">
        <v>28</v>
      </c>
      <c r="L17" s="18" t="s">
        <v>64</v>
      </c>
      <c r="M17" s="18" t="s">
        <v>65</v>
      </c>
    </row>
    <row r="18" spans="1:13" ht="34" customHeight="1">
      <c r="A18" s="15">
        <v>8</v>
      </c>
      <c r="B18" s="15" t="s">
        <v>20</v>
      </c>
      <c r="C18" s="15" t="s">
        <v>66</v>
      </c>
      <c r="D18" s="12" t="s">
        <v>67</v>
      </c>
      <c r="E18" s="15" t="s">
        <v>32</v>
      </c>
      <c r="F18" s="12" t="s">
        <v>68</v>
      </c>
      <c r="G18" s="15" t="s">
        <v>69</v>
      </c>
      <c r="H18" s="18" t="s">
        <v>70</v>
      </c>
      <c r="I18" s="15">
        <v>1</v>
      </c>
      <c r="J18" s="15" t="s">
        <v>27</v>
      </c>
      <c r="K18" s="15" t="s">
        <v>28</v>
      </c>
      <c r="L18" s="18" t="s">
        <v>64</v>
      </c>
      <c r="M18" s="18" t="s">
        <v>55</v>
      </c>
    </row>
    <row r="19" spans="1:13" ht="34" customHeight="1">
      <c r="A19" s="15">
        <v>9</v>
      </c>
      <c r="B19" s="15" t="s">
        <v>20</v>
      </c>
      <c r="C19" s="15" t="s">
        <v>71</v>
      </c>
      <c r="D19" s="12" t="s">
        <v>72</v>
      </c>
      <c r="E19" s="15" t="s">
        <v>32</v>
      </c>
      <c r="F19" s="12" t="s">
        <v>73</v>
      </c>
      <c r="G19" s="15" t="s">
        <v>74</v>
      </c>
      <c r="H19" s="18" t="s">
        <v>75</v>
      </c>
      <c r="I19" s="15">
        <v>2</v>
      </c>
      <c r="J19" s="15" t="s">
        <v>27</v>
      </c>
      <c r="K19" s="15" t="s">
        <v>28</v>
      </c>
      <c r="L19" s="18" t="s">
        <v>36</v>
      </c>
      <c r="M19" s="18" t="s">
        <v>76</v>
      </c>
    </row>
    <row r="20" spans="1:13" ht="34" customHeight="1">
      <c r="A20" s="15">
        <v>10</v>
      </c>
      <c r="B20" s="15" t="s">
        <v>77</v>
      </c>
      <c r="C20" s="15" t="s">
        <v>78</v>
      </c>
      <c r="D20" s="12" t="s">
        <v>79</v>
      </c>
      <c r="E20" s="15" t="s">
        <v>23</v>
      </c>
      <c r="F20" s="12" t="s">
        <v>80</v>
      </c>
      <c r="G20" s="15" t="s">
        <v>81</v>
      </c>
      <c r="H20" s="18" t="s">
        <v>82</v>
      </c>
      <c r="I20" s="15">
        <v>1</v>
      </c>
      <c r="J20" s="15" t="s">
        <v>27</v>
      </c>
      <c r="K20" s="15" t="s">
        <v>28</v>
      </c>
      <c r="L20" s="18" t="s">
        <v>83</v>
      </c>
      <c r="M20" s="18" t="s">
        <v>84</v>
      </c>
    </row>
    <row r="21" spans="1:13" ht="34" customHeight="1">
      <c r="A21" s="15">
        <v>11</v>
      </c>
      <c r="B21" s="15" t="s">
        <v>77</v>
      </c>
      <c r="C21" s="15" t="s">
        <v>78</v>
      </c>
      <c r="D21" s="12" t="s">
        <v>85</v>
      </c>
      <c r="E21" s="15" t="s">
        <v>32</v>
      </c>
      <c r="F21" s="12" t="s">
        <v>86</v>
      </c>
      <c r="G21" s="15" t="s">
        <v>87</v>
      </c>
      <c r="H21" s="18" t="s">
        <v>82</v>
      </c>
      <c r="I21" s="15">
        <v>1</v>
      </c>
      <c r="J21" s="15" t="s">
        <v>27</v>
      </c>
      <c r="K21" s="15" t="s">
        <v>28</v>
      </c>
      <c r="L21" s="18" t="s">
        <v>88</v>
      </c>
      <c r="M21" s="18" t="s">
        <v>89</v>
      </c>
    </row>
    <row r="22" spans="1:13" ht="34" customHeight="1">
      <c r="A22" s="15">
        <v>12</v>
      </c>
      <c r="B22" s="15" t="s">
        <v>77</v>
      </c>
      <c r="C22" s="15" t="s">
        <v>90</v>
      </c>
      <c r="D22" s="12" t="s">
        <v>91</v>
      </c>
      <c r="E22" s="15" t="s">
        <v>32</v>
      </c>
      <c r="F22" s="12" t="s">
        <v>92</v>
      </c>
      <c r="G22" s="15" t="s">
        <v>93</v>
      </c>
      <c r="H22" s="18" t="s">
        <v>82</v>
      </c>
      <c r="I22" s="15">
        <v>1</v>
      </c>
      <c r="J22" s="15" t="s">
        <v>27</v>
      </c>
      <c r="K22" s="15" t="s">
        <v>28</v>
      </c>
      <c r="L22" s="18" t="s">
        <v>94</v>
      </c>
      <c r="M22" s="18" t="s">
        <v>95</v>
      </c>
    </row>
    <row r="23" spans="1:13" ht="34" customHeight="1">
      <c r="A23" s="15">
        <v>13</v>
      </c>
      <c r="B23" s="15" t="s">
        <v>77</v>
      </c>
      <c r="C23" s="15" t="s">
        <v>90</v>
      </c>
      <c r="D23" s="12" t="s">
        <v>96</v>
      </c>
      <c r="E23" s="15" t="s">
        <v>32</v>
      </c>
      <c r="F23" s="12" t="s">
        <v>97</v>
      </c>
      <c r="G23" s="15" t="s">
        <v>98</v>
      </c>
      <c r="H23" s="18" t="s">
        <v>82</v>
      </c>
      <c r="I23" s="15">
        <v>1</v>
      </c>
      <c r="J23" s="15" t="s">
        <v>27</v>
      </c>
      <c r="K23" s="15" t="s">
        <v>28</v>
      </c>
      <c r="L23" s="18" t="s">
        <v>99</v>
      </c>
      <c r="M23" s="18" t="s">
        <v>95</v>
      </c>
    </row>
    <row r="24" spans="1:13" ht="34" customHeight="1">
      <c r="A24" s="15">
        <v>14</v>
      </c>
      <c r="B24" s="15" t="s">
        <v>77</v>
      </c>
      <c r="C24" s="15" t="s">
        <v>100</v>
      </c>
      <c r="D24" s="12" t="s">
        <v>101</v>
      </c>
      <c r="E24" s="15" t="s">
        <v>32</v>
      </c>
      <c r="F24" s="12" t="s">
        <v>102</v>
      </c>
      <c r="G24" s="15" t="s">
        <v>103</v>
      </c>
      <c r="H24" s="18" t="s">
        <v>82</v>
      </c>
      <c r="I24" s="15">
        <v>1</v>
      </c>
      <c r="J24" s="15" t="s">
        <v>27</v>
      </c>
      <c r="K24" s="15" t="s">
        <v>28</v>
      </c>
      <c r="L24" s="18" t="s">
        <v>94</v>
      </c>
      <c r="M24" s="18" t="s">
        <v>104</v>
      </c>
    </row>
    <row r="25" spans="1:13" ht="34" customHeight="1">
      <c r="A25" s="15">
        <v>15</v>
      </c>
      <c r="B25" s="15" t="s">
        <v>77</v>
      </c>
      <c r="C25" s="15" t="s">
        <v>100</v>
      </c>
      <c r="D25" s="12" t="s">
        <v>105</v>
      </c>
      <c r="E25" s="15" t="s">
        <v>32</v>
      </c>
      <c r="F25" s="12" t="s">
        <v>106</v>
      </c>
      <c r="G25" s="15" t="s">
        <v>107</v>
      </c>
      <c r="H25" s="18" t="s">
        <v>82</v>
      </c>
      <c r="I25" s="15">
        <v>1</v>
      </c>
      <c r="J25" s="15" t="s">
        <v>27</v>
      </c>
      <c r="K25" s="15" t="s">
        <v>28</v>
      </c>
      <c r="L25" s="18" t="s">
        <v>108</v>
      </c>
      <c r="M25" s="18" t="s">
        <v>95</v>
      </c>
    </row>
    <row r="26" spans="1:13" ht="34" customHeight="1">
      <c r="A26" s="15">
        <v>16</v>
      </c>
      <c r="B26" s="15" t="s">
        <v>77</v>
      </c>
      <c r="C26" s="15" t="s">
        <v>109</v>
      </c>
      <c r="D26" s="12" t="s">
        <v>110</v>
      </c>
      <c r="E26" s="15" t="s">
        <v>32</v>
      </c>
      <c r="F26" s="12" t="s">
        <v>111</v>
      </c>
      <c r="G26" s="15" t="s">
        <v>112</v>
      </c>
      <c r="H26" s="18" t="s">
        <v>82</v>
      </c>
      <c r="I26" s="15">
        <v>1</v>
      </c>
      <c r="J26" s="15" t="s">
        <v>27</v>
      </c>
      <c r="K26" s="15" t="s">
        <v>28</v>
      </c>
      <c r="L26" s="18" t="s">
        <v>113</v>
      </c>
      <c r="M26" s="18" t="s">
        <v>114</v>
      </c>
    </row>
    <row r="27" spans="1:13" ht="34" customHeight="1">
      <c r="A27" s="15">
        <v>17</v>
      </c>
      <c r="B27" s="15" t="s">
        <v>77</v>
      </c>
      <c r="C27" s="15" t="s">
        <v>109</v>
      </c>
      <c r="D27" s="12" t="s">
        <v>115</v>
      </c>
      <c r="E27" s="15" t="s">
        <v>32</v>
      </c>
      <c r="F27" s="12" t="s">
        <v>116</v>
      </c>
      <c r="G27" s="15" t="s">
        <v>117</v>
      </c>
      <c r="H27" s="18" t="s">
        <v>82</v>
      </c>
      <c r="I27" s="15">
        <v>1</v>
      </c>
      <c r="J27" s="15" t="s">
        <v>27</v>
      </c>
      <c r="K27" s="15" t="s">
        <v>28</v>
      </c>
      <c r="L27" s="18" t="s">
        <v>118</v>
      </c>
      <c r="M27" s="18" t="s">
        <v>119</v>
      </c>
    </row>
    <row r="28" spans="1:13" ht="34" customHeight="1">
      <c r="A28" s="15">
        <v>18</v>
      </c>
      <c r="B28" s="15" t="s">
        <v>77</v>
      </c>
      <c r="C28" s="15" t="s">
        <v>109</v>
      </c>
      <c r="D28" s="12" t="s">
        <v>120</v>
      </c>
      <c r="E28" s="15" t="s">
        <v>32</v>
      </c>
      <c r="F28" s="12" t="s">
        <v>121</v>
      </c>
      <c r="G28" s="15" t="s">
        <v>122</v>
      </c>
      <c r="H28" s="18" t="s">
        <v>82</v>
      </c>
      <c r="I28" s="15">
        <v>1</v>
      </c>
      <c r="J28" s="15" t="s">
        <v>27</v>
      </c>
      <c r="K28" s="15" t="s">
        <v>28</v>
      </c>
      <c r="L28" s="18" t="s">
        <v>118</v>
      </c>
      <c r="M28" s="18" t="s">
        <v>95</v>
      </c>
    </row>
    <row r="29" spans="1:13" ht="34" customHeight="1">
      <c r="A29" s="15">
        <v>19</v>
      </c>
      <c r="B29" s="15" t="s">
        <v>77</v>
      </c>
      <c r="C29" s="15" t="s">
        <v>123</v>
      </c>
      <c r="D29" s="12" t="s">
        <v>124</v>
      </c>
      <c r="E29" s="15" t="s">
        <v>32</v>
      </c>
      <c r="F29" s="12" t="s">
        <v>125</v>
      </c>
      <c r="G29" s="15" t="s">
        <v>126</v>
      </c>
      <c r="H29" s="18" t="s">
        <v>82</v>
      </c>
      <c r="I29" s="15">
        <v>1</v>
      </c>
      <c r="J29" s="15" t="s">
        <v>27</v>
      </c>
      <c r="K29" s="15" t="s">
        <v>28</v>
      </c>
      <c r="L29" s="18" t="s">
        <v>118</v>
      </c>
      <c r="M29" s="18" t="s">
        <v>95</v>
      </c>
    </row>
    <row r="30" spans="1:13" ht="34" customHeight="1">
      <c r="A30" s="15">
        <v>20</v>
      </c>
      <c r="B30" s="15" t="s">
        <v>77</v>
      </c>
      <c r="C30" s="15" t="s">
        <v>127</v>
      </c>
      <c r="D30" s="12" t="s">
        <v>128</v>
      </c>
      <c r="E30" s="15" t="s">
        <v>32</v>
      </c>
      <c r="F30" s="12" t="s">
        <v>129</v>
      </c>
      <c r="G30" s="15" t="s">
        <v>130</v>
      </c>
      <c r="H30" s="18" t="s">
        <v>82</v>
      </c>
      <c r="I30" s="15">
        <v>1</v>
      </c>
      <c r="J30" s="15" t="s">
        <v>27</v>
      </c>
      <c r="K30" s="15" t="s">
        <v>28</v>
      </c>
      <c r="L30" s="18" t="s">
        <v>118</v>
      </c>
      <c r="M30" s="18" t="s">
        <v>131</v>
      </c>
    </row>
    <row r="31" spans="1:13" ht="34" customHeight="1">
      <c r="A31" s="15">
        <v>21</v>
      </c>
      <c r="B31" s="15" t="s">
        <v>77</v>
      </c>
      <c r="C31" s="15" t="s">
        <v>127</v>
      </c>
      <c r="D31" s="12" t="s">
        <v>132</v>
      </c>
      <c r="E31" s="15" t="s">
        <v>32</v>
      </c>
      <c r="F31" s="12" t="s">
        <v>133</v>
      </c>
      <c r="G31" s="15" t="s">
        <v>134</v>
      </c>
      <c r="H31" s="18" t="s">
        <v>82</v>
      </c>
      <c r="I31" s="15">
        <v>1</v>
      </c>
      <c r="J31" s="15" t="s">
        <v>27</v>
      </c>
      <c r="K31" s="15" t="s">
        <v>28</v>
      </c>
      <c r="L31" s="18" t="s">
        <v>135</v>
      </c>
      <c r="M31" s="18" t="s">
        <v>136</v>
      </c>
    </row>
    <row r="32" spans="1:13" ht="34" customHeight="1">
      <c r="A32" s="15">
        <v>22</v>
      </c>
      <c r="B32" s="15" t="s">
        <v>77</v>
      </c>
      <c r="C32" s="15" t="s">
        <v>137</v>
      </c>
      <c r="D32" s="12" t="s">
        <v>138</v>
      </c>
      <c r="E32" s="15" t="s">
        <v>32</v>
      </c>
      <c r="F32" s="12" t="s">
        <v>139</v>
      </c>
      <c r="G32" s="15" t="s">
        <v>140</v>
      </c>
      <c r="H32" s="18" t="s">
        <v>82</v>
      </c>
      <c r="I32" s="15">
        <v>1</v>
      </c>
      <c r="J32" s="15" t="s">
        <v>27</v>
      </c>
      <c r="K32" s="15" t="s">
        <v>28</v>
      </c>
      <c r="L32" s="18" t="s">
        <v>141</v>
      </c>
      <c r="M32" s="18" t="s">
        <v>142</v>
      </c>
    </row>
    <row r="33" spans="1:13" ht="34" customHeight="1">
      <c r="A33" s="15">
        <v>23</v>
      </c>
      <c r="B33" s="15" t="s">
        <v>77</v>
      </c>
      <c r="C33" s="15" t="s">
        <v>137</v>
      </c>
      <c r="D33" s="12" t="s">
        <v>143</v>
      </c>
      <c r="E33" s="15" t="s">
        <v>32</v>
      </c>
      <c r="F33" s="12" t="s">
        <v>144</v>
      </c>
      <c r="G33" s="15" t="s">
        <v>145</v>
      </c>
      <c r="H33" s="18" t="s">
        <v>82</v>
      </c>
      <c r="I33" s="15">
        <v>1</v>
      </c>
      <c r="J33" s="15" t="s">
        <v>27</v>
      </c>
      <c r="K33" s="15" t="s">
        <v>28</v>
      </c>
      <c r="L33" s="18" t="s">
        <v>146</v>
      </c>
      <c r="M33" s="18" t="s">
        <v>95</v>
      </c>
    </row>
    <row r="34" spans="1:13" ht="34" customHeight="1">
      <c r="A34" s="15">
        <v>24</v>
      </c>
      <c r="B34" s="15" t="s">
        <v>77</v>
      </c>
      <c r="C34" s="15" t="s">
        <v>147</v>
      </c>
      <c r="D34" s="12" t="s">
        <v>148</v>
      </c>
      <c r="E34" s="15" t="s">
        <v>32</v>
      </c>
      <c r="F34" s="12" t="s">
        <v>149</v>
      </c>
      <c r="G34" s="15" t="s">
        <v>150</v>
      </c>
      <c r="H34" s="18" t="s">
        <v>82</v>
      </c>
      <c r="I34" s="15">
        <v>1</v>
      </c>
      <c r="J34" s="15" t="s">
        <v>27</v>
      </c>
      <c r="K34" s="15" t="s">
        <v>28</v>
      </c>
      <c r="L34" s="18" t="s">
        <v>151</v>
      </c>
      <c r="M34" s="18" t="s">
        <v>152</v>
      </c>
    </row>
    <row r="35" spans="1:13" ht="34" customHeight="1">
      <c r="A35" s="15">
        <v>25</v>
      </c>
      <c r="B35" s="15" t="s">
        <v>77</v>
      </c>
      <c r="C35" s="15" t="s">
        <v>147</v>
      </c>
      <c r="D35" s="12" t="s">
        <v>153</v>
      </c>
      <c r="E35" s="15" t="s">
        <v>32</v>
      </c>
      <c r="F35" s="12" t="s">
        <v>154</v>
      </c>
      <c r="G35" s="15" t="s">
        <v>155</v>
      </c>
      <c r="H35" s="18" t="s">
        <v>82</v>
      </c>
      <c r="I35" s="15">
        <v>1</v>
      </c>
      <c r="J35" s="15" t="s">
        <v>27</v>
      </c>
      <c r="K35" s="15" t="s">
        <v>28</v>
      </c>
      <c r="L35" s="18" t="s">
        <v>83</v>
      </c>
      <c r="M35" s="18" t="s">
        <v>156</v>
      </c>
    </row>
    <row r="36" spans="1:13" ht="34" customHeight="1">
      <c r="A36" s="16">
        <v>26</v>
      </c>
      <c r="B36" s="16" t="s">
        <v>77</v>
      </c>
      <c r="C36" s="16" t="s">
        <v>147</v>
      </c>
      <c r="D36" s="13" t="s">
        <v>157</v>
      </c>
      <c r="E36" s="16" t="s">
        <v>32</v>
      </c>
      <c r="F36" s="13" t="s">
        <v>158</v>
      </c>
      <c r="G36" s="16" t="s">
        <v>159</v>
      </c>
      <c r="H36" s="19" t="s">
        <v>82</v>
      </c>
      <c r="I36" s="16">
        <v>1</v>
      </c>
      <c r="J36" s="16" t="s">
        <v>27</v>
      </c>
      <c r="K36" s="16" t="s">
        <v>28</v>
      </c>
      <c r="L36" s="19" t="s">
        <v>160</v>
      </c>
      <c r="M36" s="19" t="s">
        <v>161</v>
      </c>
    </row>
  </sheetData>
  <phoneticPr fontId="7" type="noConversion"/>
  <conditionalFormatting sqref="J11:J36">
    <cfRule type="containsText" dxfId="1" priority="1" operator="containsText" text="已实现"/>
  </conditionalFormatting>
  <conditionalFormatting sqref="K11:K36">
    <cfRule type="containsText" dxfId="0" priority="2" operator="containsText" text="通过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覆盖率清单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德杨 黄</cp:lastModifiedBy>
  <dcterms:modified xsi:type="dcterms:W3CDTF">2026-09-29T07:49:27Z</dcterms:modified>
</cp:coreProperties>
</file>